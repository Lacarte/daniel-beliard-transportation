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belia\Desktop\"/>
    </mc:Choice>
  </mc:AlternateContent>
  <xr:revisionPtr revIDLastSave="0" documentId="13_ncr:1_{4C1D65CF-0C9A-456D-99DF-3C28063D50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aog0h4LGgoU4shlNvs4SWFaR9XPoC/5rzqoU6aQG70="/>
    </ext>
  </extLst>
</workbook>
</file>

<file path=xl/calcChain.xml><?xml version="1.0" encoding="utf-8"?>
<calcChain xmlns="http://schemas.openxmlformats.org/spreadsheetml/2006/main">
  <c r="B25" i="1" l="1"/>
  <c r="F9" i="1" s="1"/>
  <c r="F25" i="1" s="1"/>
  <c r="D25" i="1"/>
  <c r="C32" i="1" l="1"/>
  <c r="A32" i="1"/>
  <c r="G32" i="1" l="1"/>
</calcChain>
</file>

<file path=xl/sharedStrings.xml><?xml version="1.0" encoding="utf-8"?>
<sst xmlns="http://schemas.openxmlformats.org/spreadsheetml/2006/main" count="55" uniqueCount="41">
  <si>
    <t>PAYEE NAME</t>
  </si>
  <si>
    <t>TAX STATUS</t>
  </si>
  <si>
    <t>10-99</t>
  </si>
  <si>
    <t>PAYMENT DATE</t>
  </si>
  <si>
    <t>ALLOWANCES</t>
  </si>
  <si>
    <t>PAYMENT METHOD</t>
  </si>
  <si>
    <t>Monthly</t>
  </si>
  <si>
    <t>ADDITIONAL %</t>
  </si>
  <si>
    <t>PAY RATE</t>
  </si>
  <si>
    <t>ADDITIONAL AMT</t>
  </si>
  <si>
    <t>Loads Info</t>
  </si>
  <si>
    <t xml:space="preserve">Fuel </t>
  </si>
  <si>
    <t>Expense</t>
  </si>
  <si>
    <t>Net Pay</t>
  </si>
  <si>
    <t>Insurance</t>
  </si>
  <si>
    <t>ELD Log</t>
  </si>
  <si>
    <t>Total</t>
  </si>
  <si>
    <t>Total Deductions</t>
  </si>
  <si>
    <t>TIME-OFF BALANCES</t>
  </si>
  <si>
    <t>VACATION</t>
  </si>
  <si>
    <t>PERSONAL DAY</t>
  </si>
  <si>
    <t>SICK LEAVE</t>
  </si>
  <si>
    <t>MEDICAL LEAVE</t>
  </si>
  <si>
    <t>TOTAL GROSS PAY</t>
  </si>
  <si>
    <t>TOTAL DEDUCTIONS</t>
  </si>
  <si>
    <t>TOTAL NET PAY</t>
  </si>
  <si>
    <t>MESSAGES</t>
  </si>
  <si>
    <t>06/01/24-06/30/24</t>
  </si>
  <si>
    <t>Daniel Beliard</t>
  </si>
  <si>
    <t>Well Logistics INC (NY-FL)</t>
  </si>
  <si>
    <t>Fuel</t>
  </si>
  <si>
    <t>Tire</t>
  </si>
  <si>
    <t>Oil Change</t>
  </si>
  <si>
    <t>Maintenance</t>
  </si>
  <si>
    <t>SUNSHINE Trans INC</t>
  </si>
  <si>
    <t>Trailer</t>
  </si>
  <si>
    <t>Shower</t>
  </si>
  <si>
    <t>Scale</t>
  </si>
  <si>
    <t>Food</t>
  </si>
  <si>
    <t>Toll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</si>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</sst>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F800]dddd\,\ mmmm\ dd\,\ yyyy"/>
  </numFmts>
  <fonts count="15" x14ac:knownFonts="1">
    <font>
      <sz val="11"/>
      <color theme="1"/>
      <name val="Calibri"/>
      <scheme val="minor"/>
    </font>
    <font>
      <sz val="36"/>
      <color rgb="FFFFFFFF"/>
      <name val="Times New Roman"/>
      <family val="1"/>
    </font>
    <font>
      <sz val="11"/>
      <name val="Calibri"/>
      <family val="2"/>
    </font>
    <font>
      <b/>
      <sz val="14"/>
      <color rgb="FF434343"/>
      <name val="Century Gothic"/>
      <family val="1"/>
    </font>
    <font>
      <sz val="16"/>
      <color theme="1"/>
      <name val="Century Gothic"/>
      <family val="1"/>
    </font>
    <font>
      <sz val="10"/>
      <color theme="1"/>
      <name val="Arial"/>
      <family val="2"/>
    </font>
    <font>
      <b/>
      <sz val="12"/>
      <color rgb="FFFFFFFF"/>
      <name val="Century Gothic"/>
      <family val="1"/>
    </font>
    <font>
      <b/>
      <sz val="12"/>
      <color rgb="FF757070"/>
      <name val="Century Gothic"/>
      <family val="1"/>
    </font>
    <font>
      <sz val="14"/>
      <color rgb="FFFF0000"/>
      <name val="Century Gothic"/>
      <family val="1"/>
    </font>
    <font>
      <b/>
      <sz val="12"/>
      <color rgb="FF434343"/>
      <name val="Century Gothic"/>
      <family val="1"/>
    </font>
    <font>
      <sz val="12"/>
      <color rgb="FF534239"/>
      <name val="Century Gothic"/>
      <family val="1"/>
    </font>
    <font>
      <b/>
      <sz val="14"/>
      <color rgb="FF534239"/>
      <name val="Century Gothic"/>
      <family val="1"/>
    </font>
    <font>
      <b/>
      <sz val="9"/>
      <color rgb="FFFFFFFF"/>
      <name val="Century Gothic"/>
      <family val="1"/>
    </font>
    <font>
      <sz val="12"/>
      <color theme="1"/>
      <name val="Century Gothic"/>
      <family val="1"/>
    </font>
    <font>
      <b/>
      <sz val="12"/>
      <color rgb="FF534239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EC3314"/>
        <bgColor rgb="FFEC331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4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10" fontId="3" fillId="3" borderId="6" xfId="0" applyNumberFormat="1" applyFont="1" applyFill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5" fillId="0" borderId="7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8" fontId="8" fillId="0" borderId="5" xfId="0" applyNumberFormat="1" applyFont="1" applyBorder="1" applyAlignment="1">
      <alignment horizontal="left" wrapText="1"/>
    </xf>
    <xf numFmtId="0" fontId="9" fillId="3" borderId="5" xfId="0" applyFont="1" applyFill="1" applyBorder="1" applyAlignment="1">
      <alignment wrapText="1"/>
    </xf>
    <xf numFmtId="8" fontId="10" fillId="0" borderId="5" xfId="0" applyNumberFormat="1" applyFont="1" applyBorder="1" applyAlignment="1">
      <alignment horizontal="right" wrapText="1"/>
    </xf>
    <xf numFmtId="0" fontId="3" fillId="3" borderId="4" xfId="0" applyFont="1" applyFill="1" applyBorder="1" applyAlignment="1">
      <alignment wrapText="1"/>
    </xf>
    <xf numFmtId="8" fontId="11" fillId="4" borderId="5" xfId="0" applyNumberFormat="1" applyFont="1" applyFill="1" applyBorder="1" applyAlignment="1">
      <alignment horizontal="right" wrapText="1"/>
    </xf>
    <xf numFmtId="8" fontId="11" fillId="7" borderId="5" xfId="0" applyNumberFormat="1" applyFont="1" applyFill="1" applyBorder="1" applyAlignment="1">
      <alignment horizontal="right" wrapText="1"/>
    </xf>
    <xf numFmtId="8" fontId="11" fillId="6" borderId="5" xfId="0" applyNumberFormat="1" applyFont="1" applyFill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5" fillId="9" borderId="4" xfId="0" applyFont="1" applyFill="1" applyBorder="1" applyAlignment="1">
      <alignment wrapText="1"/>
    </xf>
    <xf numFmtId="0" fontId="5" fillId="9" borderId="5" xfId="0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10" fontId="4" fillId="0" borderId="1" xfId="0" applyNumberFormat="1" applyFont="1" applyBorder="1" applyAlignment="1">
      <alignment horizontal="left" wrapText="1"/>
    </xf>
    <xf numFmtId="0" fontId="2" fillId="0" borderId="3" xfId="0" applyFont="1" applyBorder="1"/>
    <xf numFmtId="8" fontId="4" fillId="0" borderId="1" xfId="0" applyNumberFormat="1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horizontal="left" wrapText="1"/>
    </xf>
    <xf numFmtId="164" fontId="2" fillId="0" borderId="3" xfId="0" applyNumberFormat="1" applyFont="1" applyBorder="1"/>
    <xf numFmtId="9" fontId="4" fillId="0" borderId="1" xfId="0" applyNumberFormat="1" applyFont="1" applyBorder="1" applyAlignment="1">
      <alignment horizontal="left" wrapText="1"/>
    </xf>
    <xf numFmtId="8" fontId="14" fillId="4" borderId="1" xfId="0" applyNumberFormat="1" applyFont="1" applyFill="1" applyBorder="1" applyAlignment="1">
      <alignment horizontal="center" wrapText="1"/>
    </xf>
    <xf numFmtId="8" fontId="14" fillId="7" borderId="1" xfId="0" applyNumberFormat="1" applyFont="1" applyFill="1" applyBorder="1" applyAlignment="1">
      <alignment horizontal="center" wrapText="1"/>
    </xf>
    <xf numFmtId="8" fontId="11" fillId="6" borderId="1" xfId="0" applyNumberFormat="1" applyFont="1" applyFill="1" applyBorder="1" applyAlignment="1">
      <alignment horizontal="center" wrapText="1"/>
    </xf>
    <xf numFmtId="0" fontId="12" fillId="8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72" workbookViewId="0">
      <selection activeCell="B3" sqref="B3:C3"/>
    </sheetView>
  </sheetViews>
  <sheetFormatPr defaultColWidth="14.453125" defaultRowHeight="14.5" x14ac:dyDescent="0.35"/>
  <cols>
    <col min="1" max="1" width="34.36328125" customWidth="1"/>
    <col min="2" max="2" width="22.1796875" customWidth="1"/>
    <col min="3" max="6" width="29.453125" customWidth="1"/>
    <col min="7" max="7" width="24.6328125" customWidth="1"/>
    <col min="8" max="8" width="28.453125" customWidth="1"/>
    <col min="9" max="26" width="8.6328125" customWidth="1"/>
  </cols>
  <sheetData>
    <row r="1" spans="1:8" ht="46" customHeight="1" x14ac:dyDescent="0.95">
      <c r="A1" s="26" t="s">
        <v>34</v>
      </c>
      <c r="B1" s="27"/>
      <c r="C1" s="27"/>
      <c r="D1" s="27"/>
      <c r="E1" s="27"/>
      <c r="F1" s="27"/>
      <c r="G1" s="27"/>
      <c r="H1" s="24"/>
    </row>
    <row r="2" spans="1:8" ht="20.5" x14ac:dyDescent="0.4">
      <c r="A2" s="1" t="s">
        <v>0</v>
      </c>
      <c r="B2" s="28" t="s">
        <v>28</v>
      </c>
      <c r="C2" s="24"/>
      <c r="D2" s="2" t="s">
        <v>1</v>
      </c>
      <c r="E2" s="3" t="s">
        <v>2</v>
      </c>
      <c r="F2" s="3"/>
      <c r="G2" s="29"/>
      <c r="H2" s="24"/>
    </row>
    <row r="3" spans="1:8" ht="20.5" x14ac:dyDescent="0.4">
      <c r="A3" s="1" t="s">
        <v>3</v>
      </c>
      <c r="B3" s="30" t="s">
        <v>27</v>
      </c>
      <c r="C3" s="31"/>
      <c r="D3" s="2" t="s">
        <v>4</v>
      </c>
      <c r="E3" s="3">
        <v>0</v>
      </c>
      <c r="F3" s="3"/>
      <c r="G3" s="28"/>
      <c r="H3" s="24"/>
    </row>
    <row r="4" spans="1:8" ht="20.5" x14ac:dyDescent="0.4">
      <c r="A4" s="1" t="s">
        <v>5</v>
      </c>
      <c r="B4" s="28" t="s">
        <v>6</v>
      </c>
      <c r="C4" s="24"/>
      <c r="D4" s="2" t="s">
        <v>7</v>
      </c>
      <c r="E4" s="4">
        <v>0</v>
      </c>
      <c r="F4" s="3"/>
      <c r="G4" s="23"/>
      <c r="H4" s="24"/>
    </row>
    <row r="5" spans="1:8" ht="20.5" x14ac:dyDescent="0.4">
      <c r="A5" s="1" t="s">
        <v>8</v>
      </c>
      <c r="B5" s="32">
        <v>0.2</v>
      </c>
      <c r="C5" s="24"/>
      <c r="D5" s="2" t="s">
        <v>9</v>
      </c>
      <c r="E5" s="3">
        <v>0</v>
      </c>
      <c r="F5" s="3"/>
      <c r="G5" s="25"/>
      <c r="H5" s="24"/>
    </row>
    <row r="6" spans="1:8" x14ac:dyDescent="0.35">
      <c r="A6" s="5"/>
      <c r="B6" s="5"/>
      <c r="C6" s="5"/>
      <c r="D6" s="6"/>
      <c r="E6" s="6"/>
      <c r="F6" s="6"/>
      <c r="G6" s="6"/>
      <c r="H6" s="6"/>
    </row>
    <row r="7" spans="1:8" x14ac:dyDescent="0.35">
      <c r="A7" s="7"/>
      <c r="B7" s="8"/>
      <c r="C7" s="8"/>
      <c r="D7" s="9"/>
      <c r="E7" s="9"/>
      <c r="F7" s="9"/>
      <c r="G7" s="9"/>
      <c r="H7" s="9"/>
    </row>
    <row r="8" spans="1:8" x14ac:dyDescent="0.35">
      <c r="A8" s="37" t="s">
        <v>10</v>
      </c>
      <c r="B8" s="24"/>
      <c r="C8" s="38" t="s">
        <v>11</v>
      </c>
      <c r="D8" s="24"/>
      <c r="E8" s="38" t="s">
        <v>12</v>
      </c>
      <c r="F8" s="24"/>
      <c r="G8" s="39" t="s">
        <v>13</v>
      </c>
      <c r="H8" s="24"/>
    </row>
    <row r="9" spans="1:8" ht="18" x14ac:dyDescent="0.35">
      <c r="A9" s="1" t="s">
        <v>29</v>
      </c>
      <c r="B9" s="10">
        <v>2200</v>
      </c>
      <c r="C9" s="2" t="s">
        <v>11</v>
      </c>
      <c r="D9" s="10"/>
      <c r="E9" s="2" t="s">
        <v>40</v>
      </c>
      <c r="F9" s="10">
        <f>B25*B5</f>
        <v>440</v>
      </c>
      <c r="G9" s="11"/>
      <c r="H9" s="12"/>
    </row>
    <row r="10" spans="1:8" ht="18" x14ac:dyDescent="0.35">
      <c r="A10" s="1"/>
      <c r="B10" s="10"/>
      <c r="C10" s="2" t="s">
        <v>11</v>
      </c>
      <c r="D10" s="10"/>
      <c r="E10" s="2" t="s">
        <v>14</v>
      </c>
      <c r="F10" s="10">
        <v>1500</v>
      </c>
      <c r="G10" s="11"/>
      <c r="H10" s="9"/>
    </row>
    <row r="11" spans="1:8" ht="18" x14ac:dyDescent="0.35">
      <c r="A11" s="1"/>
      <c r="B11" s="10"/>
      <c r="C11" s="2" t="s">
        <v>11</v>
      </c>
      <c r="D11" s="10"/>
      <c r="E11" s="2" t="s">
        <v>15</v>
      </c>
      <c r="F11" s="10">
        <v>150</v>
      </c>
      <c r="G11" s="11"/>
      <c r="H11" s="9"/>
    </row>
    <row r="12" spans="1:8" ht="18" x14ac:dyDescent="0.35">
      <c r="A12" s="1"/>
      <c r="B12" s="10"/>
      <c r="C12" s="2" t="s">
        <v>11</v>
      </c>
      <c r="D12" s="10"/>
      <c r="E12" s="2" t="s">
        <v>32</v>
      </c>
      <c r="F12" s="10">
        <v>900</v>
      </c>
      <c r="G12" s="11"/>
      <c r="H12" s="9"/>
    </row>
    <row r="13" spans="1:8" ht="18" x14ac:dyDescent="0.35">
      <c r="A13" s="1"/>
      <c r="B13" s="10"/>
      <c r="C13" s="2" t="s">
        <v>30</v>
      </c>
      <c r="D13" s="10"/>
      <c r="E13" s="2" t="s">
        <v>35</v>
      </c>
      <c r="F13" s="10">
        <v>695</v>
      </c>
      <c r="G13" s="11"/>
      <c r="H13" s="9"/>
    </row>
    <row r="14" spans="1:8" ht="18" x14ac:dyDescent="0.35">
      <c r="A14" s="1"/>
      <c r="B14" s="10"/>
      <c r="C14" s="2" t="s">
        <v>11</v>
      </c>
      <c r="D14" s="10"/>
      <c r="E14" s="2" t="s">
        <v>36</v>
      </c>
      <c r="F14" s="10"/>
      <c r="G14" s="11"/>
      <c r="H14" s="9"/>
    </row>
    <row r="15" spans="1:8" ht="18" x14ac:dyDescent="0.35">
      <c r="A15" s="1"/>
      <c r="B15" s="10"/>
      <c r="C15" s="2" t="s">
        <v>30</v>
      </c>
      <c r="D15" s="10"/>
      <c r="E15" s="2" t="s">
        <v>37</v>
      </c>
      <c r="F15" s="10"/>
      <c r="G15" s="11"/>
      <c r="H15" s="9"/>
    </row>
    <row r="16" spans="1:8" ht="18" x14ac:dyDescent="0.35">
      <c r="A16" s="1"/>
      <c r="B16" s="10"/>
      <c r="C16" s="2" t="s">
        <v>11</v>
      </c>
      <c r="D16" s="10"/>
      <c r="E16" s="2" t="s">
        <v>38</v>
      </c>
      <c r="F16" s="10"/>
      <c r="G16" s="11"/>
      <c r="H16" s="9"/>
    </row>
    <row r="17" spans="1:8" ht="18" x14ac:dyDescent="0.35">
      <c r="A17" s="1"/>
      <c r="B17" s="10"/>
      <c r="C17" s="2" t="s">
        <v>11</v>
      </c>
      <c r="D17" s="10"/>
      <c r="E17" s="2" t="s">
        <v>39</v>
      </c>
      <c r="F17" s="10"/>
      <c r="G17" s="11"/>
      <c r="H17" s="9"/>
    </row>
    <row r="18" spans="1:8" ht="18" x14ac:dyDescent="0.35">
      <c r="A18" s="1"/>
      <c r="B18" s="10"/>
      <c r="C18" s="2" t="s">
        <v>11</v>
      </c>
      <c r="D18" s="10"/>
      <c r="E18" s="2" t="s">
        <v>31</v>
      </c>
      <c r="F18" s="10"/>
      <c r="G18" s="11"/>
      <c r="H18" s="9"/>
    </row>
    <row r="19" spans="1:8" ht="18" x14ac:dyDescent="0.35">
      <c r="A19" s="1"/>
      <c r="B19" s="10"/>
      <c r="C19" s="2" t="s">
        <v>11</v>
      </c>
      <c r="D19" s="10"/>
      <c r="E19" s="2" t="s">
        <v>33</v>
      </c>
      <c r="F19" s="10"/>
      <c r="G19" s="11"/>
      <c r="H19" s="9"/>
    </row>
    <row r="20" spans="1:8" ht="18" x14ac:dyDescent="0.35">
      <c r="A20" s="1"/>
      <c r="B20" s="10"/>
      <c r="C20" s="2" t="s">
        <v>11</v>
      </c>
      <c r="D20" s="10"/>
      <c r="E20" s="2"/>
      <c r="F20" s="10"/>
      <c r="G20" s="11"/>
      <c r="H20" s="9"/>
    </row>
    <row r="21" spans="1:8" ht="18" x14ac:dyDescent="0.35">
      <c r="A21" s="1"/>
      <c r="B21" s="10"/>
      <c r="C21" s="2" t="s">
        <v>30</v>
      </c>
      <c r="D21" s="10"/>
      <c r="E21" s="2"/>
      <c r="F21" s="10"/>
      <c r="G21" s="11"/>
      <c r="H21" s="9"/>
    </row>
    <row r="22" spans="1:8" ht="18" x14ac:dyDescent="0.35">
      <c r="A22" s="1"/>
      <c r="B22" s="10"/>
      <c r="C22" s="2"/>
      <c r="D22" s="10"/>
      <c r="E22" s="2"/>
      <c r="F22" s="10"/>
      <c r="G22" s="11"/>
      <c r="H22" s="9"/>
    </row>
    <row r="23" spans="1:8" ht="18" x14ac:dyDescent="0.35">
      <c r="A23" s="1"/>
      <c r="B23" s="10"/>
      <c r="C23" s="2"/>
      <c r="D23" s="10"/>
      <c r="E23" s="2"/>
      <c r="F23" s="10"/>
      <c r="G23" s="11"/>
      <c r="H23" s="9"/>
    </row>
    <row r="24" spans="1:8" ht="18" x14ac:dyDescent="0.35">
      <c r="A24" s="1"/>
      <c r="B24" s="10"/>
      <c r="C24" s="2"/>
      <c r="D24" s="10"/>
      <c r="E24" s="2"/>
      <c r="F24" s="10"/>
      <c r="G24" s="11"/>
      <c r="H24" s="9"/>
    </row>
    <row r="25" spans="1:8" ht="17.5" x14ac:dyDescent="0.35">
      <c r="A25" s="13" t="s">
        <v>16</v>
      </c>
      <c r="B25" s="14">
        <f>SUM(B9:B24)</f>
        <v>2200</v>
      </c>
      <c r="C25" s="2" t="s">
        <v>17</v>
      </c>
      <c r="D25" s="15">
        <f>SUM(D9:D24)</f>
        <v>0</v>
      </c>
      <c r="E25" s="2" t="s">
        <v>17</v>
      </c>
      <c r="F25" s="15">
        <f>SUM(F9:F23)</f>
        <v>3685</v>
      </c>
      <c r="G25" s="11" t="s">
        <v>13</v>
      </c>
      <c r="H25" s="16"/>
    </row>
    <row r="26" spans="1:8" x14ac:dyDescent="0.35">
      <c r="A26" s="17"/>
      <c r="B26" s="9"/>
      <c r="C26" s="9"/>
      <c r="D26" s="9"/>
      <c r="E26" s="9"/>
      <c r="F26" s="9"/>
      <c r="G26" s="9"/>
      <c r="H26" s="9"/>
    </row>
    <row r="27" spans="1:8" x14ac:dyDescent="0.35">
      <c r="A27" s="36" t="s">
        <v>18</v>
      </c>
      <c r="B27" s="27"/>
      <c r="C27" s="27"/>
      <c r="D27" s="27"/>
      <c r="E27" s="27"/>
      <c r="F27" s="27"/>
      <c r="G27" s="27"/>
      <c r="H27" s="24"/>
    </row>
    <row r="28" spans="1:8" ht="15.5" x14ac:dyDescent="0.35">
      <c r="A28" s="18" t="s">
        <v>19</v>
      </c>
      <c r="B28" s="40">
        <v>0</v>
      </c>
      <c r="C28" s="24"/>
      <c r="D28" s="11" t="s">
        <v>20</v>
      </c>
      <c r="E28" s="19"/>
      <c r="F28" s="19"/>
      <c r="G28" s="41">
        <v>0</v>
      </c>
      <c r="H28" s="24"/>
    </row>
    <row r="29" spans="1:8" ht="15.5" x14ac:dyDescent="0.35">
      <c r="A29" s="18" t="s">
        <v>21</v>
      </c>
      <c r="B29" s="40">
        <v>0</v>
      </c>
      <c r="C29" s="24"/>
      <c r="D29" s="11" t="s">
        <v>22</v>
      </c>
      <c r="E29" s="19"/>
      <c r="F29" s="19"/>
      <c r="G29" s="41">
        <v>0</v>
      </c>
      <c r="H29" s="24"/>
    </row>
    <row r="30" spans="1:8" x14ac:dyDescent="0.35">
      <c r="A30" s="17"/>
      <c r="B30" s="9"/>
      <c r="C30" s="9"/>
      <c r="D30" s="9"/>
      <c r="E30" s="9"/>
      <c r="F30" s="9"/>
      <c r="G30" s="9"/>
      <c r="H30" s="9"/>
    </row>
    <row r="31" spans="1:8" x14ac:dyDescent="0.35">
      <c r="A31" s="36" t="s">
        <v>23</v>
      </c>
      <c r="B31" s="24"/>
      <c r="C31" s="42" t="s">
        <v>24</v>
      </c>
      <c r="D31" s="27"/>
      <c r="E31" s="27"/>
      <c r="F31" s="24"/>
      <c r="G31" s="36" t="s">
        <v>25</v>
      </c>
      <c r="H31" s="24"/>
    </row>
    <row r="32" spans="1:8" x14ac:dyDescent="0.35">
      <c r="A32" s="33">
        <f>B25</f>
        <v>2200</v>
      </c>
      <c r="B32" s="24"/>
      <c r="C32" s="34">
        <f>D25+F25</f>
        <v>3685</v>
      </c>
      <c r="D32" s="27"/>
      <c r="E32" s="27"/>
      <c r="F32" s="24"/>
      <c r="G32" s="35">
        <f>A32-C32</f>
        <v>-1485</v>
      </c>
      <c r="H32" s="24"/>
    </row>
    <row r="33" spans="1:8" x14ac:dyDescent="0.35">
      <c r="A33" s="20"/>
      <c r="B33" s="21"/>
      <c r="C33" s="21"/>
      <c r="D33" s="21"/>
      <c r="E33" s="21"/>
      <c r="F33" s="21"/>
      <c r="G33" s="21"/>
      <c r="H33" s="21"/>
    </row>
    <row r="34" spans="1:8" x14ac:dyDescent="0.35">
      <c r="A34" s="36" t="s">
        <v>26</v>
      </c>
      <c r="B34" s="27"/>
      <c r="C34" s="27"/>
      <c r="D34" s="27"/>
      <c r="E34" s="27"/>
      <c r="F34" s="27"/>
      <c r="G34" s="27"/>
      <c r="H34" s="24"/>
    </row>
    <row r="35" spans="1:8" x14ac:dyDescent="0.35">
      <c r="A35" s="22"/>
      <c r="B35" s="22"/>
      <c r="C35" s="22"/>
      <c r="D35" s="22"/>
      <c r="E35" s="22"/>
      <c r="F35" s="22"/>
      <c r="G35" s="22"/>
      <c r="H35" s="22"/>
    </row>
    <row r="36" spans="1:8" x14ac:dyDescent="0.35">
      <c r="A36" s="22"/>
      <c r="B36" s="22"/>
      <c r="C36" s="22"/>
      <c r="D36" s="22"/>
      <c r="E36" s="22"/>
      <c r="F36" s="22"/>
      <c r="G36" s="22"/>
      <c r="H36" s="22"/>
    </row>
  </sheetData>
  <mergeCells count="25">
    <mergeCell ref="A32:B32"/>
    <mergeCell ref="C32:F32"/>
    <mergeCell ref="G32:H32"/>
    <mergeCell ref="A34:H34"/>
    <mergeCell ref="A8:B8"/>
    <mergeCell ref="C8:D8"/>
    <mergeCell ref="E8:F8"/>
    <mergeCell ref="G8:H8"/>
    <mergeCell ref="A27:H27"/>
    <mergeCell ref="B28:C28"/>
    <mergeCell ref="B29:C29"/>
    <mergeCell ref="G28:H28"/>
    <mergeCell ref="G29:H29"/>
    <mergeCell ref="A31:B31"/>
    <mergeCell ref="C31:F31"/>
    <mergeCell ref="G31:H31"/>
    <mergeCell ref="G4:H4"/>
    <mergeCell ref="G5:H5"/>
    <mergeCell ref="A1:H1"/>
    <mergeCell ref="B2:C2"/>
    <mergeCell ref="G2:H2"/>
    <mergeCell ref="B3:C3"/>
    <mergeCell ref="G3:H3"/>
    <mergeCell ref="B4:C4"/>
    <mergeCell ref="B5:C5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Sunshine Trans INC</dc:creator>
  <cp:lastModifiedBy>Daniel Beliard</cp:lastModifiedBy>
  <cp:lastPrinted>2024-07-02T18:43:07Z</cp:lastPrinted>
  <dcterms:created xsi:type="dcterms:W3CDTF">2022-05-18T14:27:55Z</dcterms:created>
  <dcterms:modified xsi:type="dcterms:W3CDTF">2024-09-10T21:29:11Z</dcterms:modified>
</cp:coreProperties>
</file>